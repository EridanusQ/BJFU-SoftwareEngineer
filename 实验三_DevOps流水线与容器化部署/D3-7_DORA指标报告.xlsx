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标概览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周度汇总" sheetId="3" state="visible" r:id="rId3"/>
    <sheet xmlns:r="http://schemas.openxmlformats.org/officeDocument/2006/relationships" name="趋势图说明" sheetId="4" state="visible" r:id="rId4"/>
    <sheet xmlns:r="http://schemas.openxmlformats.org/officeDocument/2006/relationships" name="改进计划" sheetId="5" state="visible" r:id="rId5"/>
    <sheet xmlns:r="http://schemas.openxmlformats.org/officeDocument/2006/relationships" name="趋势图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b val="1"/>
      <color rgb="00FFFFFF"/>
    </font>
    <font>
      <b val="1"/>
      <color rgb="000F6B45"/>
      <sz val="16"/>
    </font>
  </fonts>
  <fills count="5">
    <fill>
      <patternFill/>
    </fill>
    <fill>
      <patternFill patternType="gray125"/>
    </fill>
    <fill>
      <patternFill patternType="solid">
        <fgColor rgb="001A7A3D"/>
      </patternFill>
    </fill>
    <fill>
      <patternFill patternType="solid">
        <fgColor rgb="00F2F8F4"/>
      </patternFill>
    </fill>
    <fill>
      <patternFill patternType="solid">
        <fgColor rgb="000F6B45"/>
      </patternFill>
    </fill>
  </fills>
  <borders count="3">
    <border>
      <left/>
      <right/>
      <top/>
      <bottom/>
      <diagonal/>
    </border>
    <border>
      <left style="thin">
        <color rgb="00B8D8C2"/>
      </left>
      <right style="thin">
        <color rgb="00B8D8C2"/>
      </right>
      <top style="thin">
        <color rgb="00B8D8C2"/>
      </top>
      <bottom style="thin">
        <color rgb="00B8D8C2"/>
      </bottom>
    </border>
    <border>
      <left style="thin">
        <color rgb="00B7C9BF"/>
      </left>
      <right style="thin">
        <color rgb="00B7C9BF"/>
      </right>
      <top style="thin">
        <color rgb="00B7C9BF"/>
      </top>
      <bottom style="thin">
        <color rgb="00B7C9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部署频率趋势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'原始数据'!$A$2:$A$10</f>
            </numRef>
          </cat>
          <val>
            <numRef>
              <f>'原始数据'!$B$2:$B$10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部署次数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变更前置时间趋势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'原始数据'!$A$2:$A$10</f>
            </numRef>
          </cat>
          <val>
            <numRef>
              <f>'原始数据'!$C$2:$C$10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小时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当日变更失败率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'原始数据'!G1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'原始数据'!$A$2:$A$10</f>
            </numRef>
          </cat>
          <val>
            <numRef>
              <f>'原始数据'!$G$2:$G$10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MTTR 趋势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'原始数据'!$A$2:$A$10</f>
            </numRef>
          </cat>
          <val>
            <numRef>
              <f>'原始数据'!$E$2:$E$10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分钟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19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4" customWidth="1" min="4" max="4"/>
    <col width="56" customWidth="1" min="5" max="5"/>
  </cols>
  <sheetData>
    <row r="1">
      <c r="A1" s="6" t="inlineStr">
        <is>
          <t>指标</t>
        </is>
      </c>
      <c r="B1" s="6" t="inlineStr">
        <is>
          <t>当前值</t>
        </is>
      </c>
      <c r="C1" s="6" t="inlineStr">
        <is>
          <t>目标阈值</t>
        </is>
      </c>
      <c r="D1" s="6" t="inlineStr">
        <is>
          <t>评级</t>
        </is>
      </c>
      <c r="E1" s="6" t="inlineStr">
        <is>
          <t>说明</t>
        </is>
      </c>
    </row>
    <row r="2">
      <c r="A2" s="7" t="inlineStr">
        <is>
          <t>日均部署次数</t>
        </is>
      </c>
      <c r="B2" s="7">
        <f>ROUND(AVERAGE('原始数据'!B2:B10),2)</f>
        <v/>
      </c>
      <c r="C2" s="7" t="inlineStr">
        <is>
          <t>&gt;=1 次/日</t>
        </is>
      </c>
      <c r="D2" s="7" t="inlineStr">
        <is>
          <t>High</t>
        </is>
      </c>
      <c r="E2" s="7" t="inlineStr">
        <is>
          <t>实验期保持高频小步交付</t>
        </is>
      </c>
    </row>
    <row r="3">
      <c r="A3" s="7" t="inlineStr">
        <is>
          <t>中位前置时间(小时)</t>
        </is>
      </c>
      <c r="B3" s="7">
        <f>MEDIAN('原始数据'!C2:C10)</f>
        <v/>
      </c>
      <c r="C3" s="7" t="inlineStr">
        <is>
          <t>&lt;=4 小时</t>
        </is>
      </c>
      <c r="D3" s="7" t="inlineStr">
        <is>
          <t>High</t>
        </is>
      </c>
      <c r="E3" s="7" t="inlineStr">
        <is>
          <t>从提交到可部署版本的等待时间较短</t>
        </is>
      </c>
    </row>
    <row r="4">
      <c r="A4" s="7" t="inlineStr">
        <is>
          <t>变更失败率(%)</t>
        </is>
      </c>
      <c r="B4" s="7">
        <f>ROUND(SUM('原始数据'!D2:D10)/SUM('原始数据'!B2:B10)*100,2)</f>
        <v/>
      </c>
      <c r="C4" s="7" t="inlineStr">
        <is>
          <t>&lt;=15%</t>
        </is>
      </c>
      <c r="D4" s="7" t="inlineStr">
        <is>
          <t>High</t>
        </is>
      </c>
      <c r="E4" s="7" t="inlineStr">
        <is>
          <t>失败变更占总部署次数比例</t>
        </is>
      </c>
    </row>
    <row r="5">
      <c r="A5" s="7" t="inlineStr">
        <is>
          <t>平均 MTTR(分钟)</t>
        </is>
      </c>
      <c r="B5" s="7">
        <f>ROUND(AVERAGEIF('原始数据'!E2:E10,"&gt;0",'原始数据'!E2:E10),2)</f>
        <v/>
      </c>
      <c r="C5" s="7" t="inlineStr">
        <is>
          <t>&lt;=30 分钟</t>
        </is>
      </c>
      <c r="D5" s="7" t="inlineStr">
        <is>
          <t>High</t>
        </is>
      </c>
      <c r="E5" s="7" t="inlineStr">
        <is>
          <t>失败后恢复耗时，未失败日期不计入平均</t>
        </is>
      </c>
    </row>
    <row r="6">
      <c r="A6" s="7" t="inlineStr">
        <is>
          <t>综合结论</t>
        </is>
      </c>
      <c r="B6" s="7" t="inlineStr">
        <is>
          <t>High</t>
        </is>
      </c>
      <c r="C6" s="7" t="inlineStr">
        <is>
          <t>持续改进</t>
        </is>
      </c>
      <c r="D6" s="7" t="inlineStr">
        <is>
          <t>达标</t>
        </is>
      </c>
      <c r="E6" s="7" t="inlineStr">
        <is>
          <t>当前 PoC 已具备较快交付、较低失败率和可恢复能力</t>
        </is>
      </c>
    </row>
    <row r="7">
      <c r="A7" s="7" t="n"/>
      <c r="B7" s="7" t="n"/>
      <c r="C7" s="7" t="n"/>
      <c r="D7" s="7" t="n"/>
      <c r="E7" s="7" t="n"/>
    </row>
    <row r="8">
      <c r="A8" s="7" t="inlineStr">
        <is>
          <t>报告说明</t>
        </is>
      </c>
      <c r="B8" s="7" t="inlineStr">
        <is>
          <t>本报告基于实验三 CI/CD、镜像扫描、Compose 起栈、Helm 发布和可观测演练数据整理，用于衡量 NekoCafé DevOps PoC 的交付效率与恢复能力。</t>
        </is>
      </c>
      <c r="C8" s="7" t="n"/>
      <c r="D8" s="7" t="n"/>
      <c r="E8" s="7" t="n"/>
    </row>
    <row r="9">
      <c r="A9" s="7" t="inlineStr">
        <is>
          <t>分析结论</t>
        </is>
      </c>
      <c r="B9" s="7" t="inlineStr">
        <is>
          <t>部署频率稳定在每日多次，前置时间从 5 小时逐步降低到 2 小时，变更失败率低于 15%，MTTR 低于 30 分钟，说明当前流水线具备 High 级别的实验交付成熟度。</t>
        </is>
      </c>
      <c r="C9" s="7" t="n"/>
      <c r="D9" s="7" t="n"/>
      <c r="E9" s="7" t="n"/>
    </row>
    <row r="10">
      <c r="A10" s="7" t="inlineStr">
        <is>
          <t>后续关注</t>
        </is>
      </c>
      <c r="B10" s="7" t="inlineStr">
        <is>
          <t>继续补充端到端测试、契约测试、自动回滚指标和发布后复盘记录，避免 PoC 阶段的手工演练在真实项目中变成不可追溯操作。</t>
        </is>
      </c>
      <c r="C10" s="7" t="n"/>
      <c r="D10" s="7" t="n"/>
      <c r="E10" s="7" t="n"/>
    </row>
  </sheetData>
  <mergeCells count="3">
    <mergeCell ref="B10:E10"/>
    <mergeCell ref="B9:E9"/>
    <mergeCell ref="B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4" customWidth="1" min="5" max="5"/>
    <col width="24" customWidth="1" min="6" max="6"/>
    <col width="18" customWidth="1" min="7" max="7"/>
    <col width="14" customWidth="1" min="8" max="8"/>
  </cols>
  <sheetData>
    <row r="1" ht="30" customHeight="1">
      <c r="A1" s="6" t="inlineStr">
        <is>
          <t>日期</t>
        </is>
      </c>
      <c r="B1" s="6" t="inlineStr">
        <is>
          <t>部署次数</t>
        </is>
      </c>
      <c r="C1" s="6" t="inlineStr">
        <is>
          <t>变更前置时间(小时)</t>
        </is>
      </c>
      <c r="D1" s="6" t="inlineStr">
        <is>
          <t>变更失败次数</t>
        </is>
      </c>
      <c r="E1" s="6" t="inlineStr">
        <is>
          <t>MTTR(分钟)</t>
        </is>
      </c>
      <c r="F1" s="6" t="inlineStr">
        <is>
          <t>备注</t>
        </is>
      </c>
      <c r="G1" s="6" t="inlineStr">
        <is>
          <t>当日变更失败率(%)</t>
        </is>
      </c>
      <c r="H1" s="6" t="inlineStr">
        <is>
          <t>是否触发复盘</t>
        </is>
      </c>
    </row>
    <row r="2" ht="22" customHeight="1">
      <c r="A2" s="7" t="inlineStr">
        <is>
          <t>2026-05-06</t>
        </is>
      </c>
      <c r="B2" s="7" t="n">
        <v>2</v>
      </c>
      <c r="C2" s="7" t="n">
        <v>5</v>
      </c>
      <c r="D2" s="7" t="n">
        <v>0</v>
      </c>
      <c r="E2" s="7" t="n">
        <v>0</v>
      </c>
      <c r="F2" s="7" t="inlineStr">
        <is>
          <t>初始化 PoC</t>
        </is>
      </c>
      <c r="G2" s="7">
        <f>IF(B2=0,0,D2/B2*100)</f>
        <v/>
      </c>
      <c r="H2" s="7">
        <f>IF(OR(D2&gt;0,E2&gt;0),"是","否")</f>
        <v/>
      </c>
    </row>
    <row r="3" ht="22" customHeight="1">
      <c r="A3" s="7" t="inlineStr">
        <is>
          <t>2026-05-07</t>
        </is>
      </c>
      <c r="B3" s="7" t="n">
        <v>3</v>
      </c>
      <c r="C3" s="7" t="n">
        <v>4.2</v>
      </c>
      <c r="D3" s="7" t="n">
        <v>0</v>
      </c>
      <c r="E3" s="7" t="n">
        <v>0</v>
      </c>
      <c r="F3" s="7" t="inlineStr">
        <is>
          <t>补单元测试</t>
        </is>
      </c>
      <c r="G3" s="7">
        <f>IF(B3=0,0,D3/B3*100)</f>
        <v/>
      </c>
      <c r="H3" s="7">
        <f>IF(OR(D3&gt;0,E3&gt;0),"是","否")</f>
        <v/>
      </c>
    </row>
    <row r="4">
      <c r="A4" s="7" t="inlineStr">
        <is>
          <t>2026-05-08</t>
        </is>
      </c>
      <c r="B4" s="7" t="n">
        <v>4</v>
      </c>
      <c r="C4" s="7" t="n">
        <v>3.8</v>
      </c>
      <c r="D4" s="7" t="n">
        <v>1</v>
      </c>
      <c r="E4" s="7" t="n">
        <v>18</v>
      </c>
      <c r="F4" s="7" t="inlineStr">
        <is>
          <t>修复 Dockerfile</t>
        </is>
      </c>
      <c r="G4" s="7">
        <f>IF(B4=0,0,D4/B4*100)</f>
        <v/>
      </c>
      <c r="H4" s="7">
        <f>IF(OR(D4&gt;0,E4&gt;0),"是","否")</f>
        <v/>
      </c>
    </row>
    <row r="5">
      <c r="A5" s="7" t="inlineStr">
        <is>
          <t>2026-05-09</t>
        </is>
      </c>
      <c r="B5" s="7" t="n">
        <v>4</v>
      </c>
      <c r="C5" s="7" t="n">
        <v>3.1</v>
      </c>
      <c r="D5" s="7" t="n">
        <v>0</v>
      </c>
      <c r="E5" s="7" t="n">
        <v>0</v>
      </c>
      <c r="F5" s="7" t="inlineStr">
        <is>
          <t>Compose 起栈</t>
        </is>
      </c>
      <c r="G5" s="7">
        <f>IF(B5=0,0,D5/B5*100)</f>
        <v/>
      </c>
      <c r="H5" s="7">
        <f>IF(OR(D5&gt;0,E5&gt;0),"是","否")</f>
        <v/>
      </c>
    </row>
    <row r="6">
      <c r="A6" s="7" t="inlineStr">
        <is>
          <t>2026-05-10</t>
        </is>
      </c>
      <c r="B6" s="7" t="n">
        <v>5</v>
      </c>
      <c r="C6" s="7" t="n">
        <v>2.8</v>
      </c>
      <c r="D6" s="7" t="n">
        <v>0</v>
      </c>
      <c r="E6" s="7" t="n">
        <v>0</v>
      </c>
      <c r="F6" s="7" t="inlineStr">
        <is>
          <t>CI 缓存</t>
        </is>
      </c>
      <c r="G6" s="7">
        <f>IF(B6=0,0,D6/B6*100)</f>
        <v/>
      </c>
      <c r="H6" s="7">
        <f>IF(OR(D6&gt;0,E6&gt;0),"是","否")</f>
        <v/>
      </c>
    </row>
    <row r="7">
      <c r="A7" s="7" t="inlineStr">
        <is>
          <t>2026-05-11</t>
        </is>
      </c>
      <c r="B7" s="7" t="n">
        <v>3</v>
      </c>
      <c r="C7" s="7" t="n">
        <v>2.6</v>
      </c>
      <c r="D7" s="7" t="n">
        <v>0</v>
      </c>
      <c r="E7" s="7" t="n">
        <v>0</v>
      </c>
      <c r="F7" s="7" t="inlineStr">
        <is>
          <t>Helm values</t>
        </is>
      </c>
      <c r="G7" s="7">
        <f>IF(B7=0,0,D7/B7*100)</f>
        <v/>
      </c>
      <c r="H7" s="7">
        <f>IF(OR(D7&gt;0,E7&gt;0),"是","否")</f>
        <v/>
      </c>
    </row>
    <row r="8">
      <c r="A8" s="7" t="inlineStr">
        <is>
          <t>2026-05-12</t>
        </is>
      </c>
      <c r="B8" s="7" t="n">
        <v>4</v>
      </c>
      <c r="C8" s="7" t="n">
        <v>2.4</v>
      </c>
      <c r="D8" s="7" t="n">
        <v>1</v>
      </c>
      <c r="E8" s="7" t="n">
        <v>12</v>
      </c>
      <c r="F8" s="7" t="inlineStr">
        <is>
          <t>回滚演练</t>
        </is>
      </c>
      <c r="G8" s="7">
        <f>IF(B8=0,0,D8/B8*100)</f>
        <v/>
      </c>
      <c r="H8" s="7">
        <f>IF(OR(D8&gt;0,E8&gt;0),"是","否")</f>
        <v/>
      </c>
    </row>
    <row r="9">
      <c r="A9" s="7" t="inlineStr">
        <is>
          <t>2026-05-13</t>
        </is>
      </c>
      <c r="B9" s="7" t="n">
        <v>5</v>
      </c>
      <c r="C9" s="7" t="n">
        <v>2.2</v>
      </c>
      <c r="D9" s="7" t="n">
        <v>0</v>
      </c>
      <c r="E9" s="7" t="n">
        <v>0</v>
      </c>
      <c r="F9" s="7" t="inlineStr">
        <is>
          <t>观测面板</t>
        </is>
      </c>
      <c r="G9" s="7">
        <f>IF(B9=0,0,D9/B9*100)</f>
        <v/>
      </c>
      <c r="H9" s="7">
        <f>IF(OR(D9&gt;0,E9&gt;0),"是","否")</f>
        <v/>
      </c>
    </row>
    <row r="10">
      <c r="A10" s="7" t="inlineStr">
        <is>
          <t>2026-05-14</t>
        </is>
      </c>
      <c r="B10" s="7" t="n">
        <v>4</v>
      </c>
      <c r="C10" s="7" t="n">
        <v>2</v>
      </c>
      <c r="D10" s="7" t="n">
        <v>0</v>
      </c>
      <c r="E10" s="7" t="n">
        <v>0</v>
      </c>
      <c r="F10" s="7" t="inlineStr">
        <is>
          <t>基线冻结</t>
        </is>
      </c>
      <c r="G10" s="7">
        <f>IF(B10=0,0,D10/B10*100)</f>
        <v/>
      </c>
      <c r="H10" s="7">
        <f>IF(OR(D10&gt;0,E10&gt;0),"是","否")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16" customWidth="1" min="4" max="4"/>
    <col width="18" customWidth="1" min="5" max="5"/>
    <col width="14" customWidth="1" min="6" max="6"/>
    <col width="46" customWidth="1" min="7" max="7"/>
  </cols>
  <sheetData>
    <row r="1" ht="30" customHeight="1">
      <c r="A1" s="6" t="inlineStr">
        <is>
          <t>周次</t>
        </is>
      </c>
      <c r="B1" s="6" t="inlineStr">
        <is>
          <t>日均部署次数</t>
        </is>
      </c>
      <c r="C1" s="6" t="inlineStr">
        <is>
          <t>中位前置时间(小时)</t>
        </is>
      </c>
      <c r="D1" s="6" t="inlineStr">
        <is>
          <t>变更失败率(%)</t>
        </is>
      </c>
      <c r="E1" s="6" t="inlineStr">
        <is>
          <t>平均MTTR(分钟)</t>
        </is>
      </c>
      <c r="F1" s="6" t="inlineStr">
        <is>
          <t>DORA 等级</t>
        </is>
      </c>
      <c r="G1" s="6" t="inlineStr">
        <is>
          <t>主要观察</t>
        </is>
      </c>
    </row>
    <row r="2" ht="22" customHeight="1">
      <c r="A2" s="7" t="inlineStr">
        <is>
          <t>W19</t>
        </is>
      </c>
      <c r="B2" s="7">
        <f>ROUND(AVERAGE('原始数据'!B2:B6),2)</f>
        <v/>
      </c>
      <c r="C2" s="7">
        <f>MEDIAN('原始数据'!C2:C6)</f>
        <v/>
      </c>
      <c r="D2" s="7">
        <f>ROUND(SUM('原始数据'!D2:D6)/SUM('原始数据'!B2:B6)*100,2)</f>
        <v/>
      </c>
      <c r="E2" s="7">
        <f>ROUND(AVERAGEIF('原始数据'!E2:E6,"&gt;0",'原始数据'!E2:E6),2)</f>
        <v/>
      </c>
      <c r="F2" s="7" t="inlineStr">
        <is>
          <t>High</t>
        </is>
      </c>
      <c r="G2" s="7" t="inlineStr">
        <is>
          <t>完成 PoC 初始化、测试补充、Dockerfile 修复和 Compose 起栈</t>
        </is>
      </c>
    </row>
    <row r="3" ht="22" customHeight="1">
      <c r="A3" s="7" t="inlineStr">
        <is>
          <t>W20</t>
        </is>
      </c>
      <c r="B3" s="7">
        <f>ROUND(AVERAGE('原始数据'!B7:B10),2)</f>
        <v/>
      </c>
      <c r="C3" s="7">
        <f>MEDIAN('原始数据'!C7:C10)</f>
        <v/>
      </c>
      <c r="D3" s="7">
        <f>ROUND(SUM('原始数据'!D7:D10)/SUM('原始数据'!B7:B10)*100,2)</f>
        <v/>
      </c>
      <c r="E3" s="7">
        <f>ROUND(AVERAGEIF('原始数据'!E7:E10,"&gt;0",'原始数据'!E7:E10),2)</f>
        <v/>
      </c>
      <c r="F3" s="7" t="inlineStr">
        <is>
          <t>High</t>
        </is>
      </c>
      <c r="G3" s="7" t="inlineStr">
        <is>
          <t>完成 Helm values、回滚演练、观测面板和基线冻结</t>
        </is>
      </c>
    </row>
    <row r="4">
      <c r="A4" s="7" t="inlineStr">
        <is>
          <t>总体</t>
        </is>
      </c>
      <c r="B4" s="7">
        <f>ROUND(AVERAGE('原始数据'!B2:B10),2)</f>
        <v/>
      </c>
      <c r="C4" s="7">
        <f>MEDIAN('原始数据'!C2:C10)</f>
        <v/>
      </c>
      <c r="D4" s="7">
        <f>ROUND(SUM('原始数据'!D2:D10)/SUM('原始数据'!B2:B10)*100,2)</f>
        <v/>
      </c>
      <c r="E4" s="7">
        <f>ROUND(AVERAGEIF('原始数据'!E2:E10,"&gt;0",'原始数据'!E2:E10),2)</f>
        <v/>
      </c>
      <c r="F4" s="7" t="inlineStr">
        <is>
          <t>High</t>
        </is>
      </c>
      <c r="G4" s="7" t="inlineStr">
        <is>
          <t>整体达到高频交付、低失败率和快速恢复目标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4" customWidth="1" min="4" max="4"/>
    <col width="52" customWidth="1" min="5" max="5"/>
  </cols>
  <sheetData>
    <row r="1" ht="30" customHeight="1">
      <c r="A1" s="6" t="inlineStr">
        <is>
          <t>图编号</t>
        </is>
      </c>
      <c r="B1" s="6" t="inlineStr">
        <is>
          <t>名称</t>
        </is>
      </c>
      <c r="C1" s="6" t="inlineStr">
        <is>
          <t>数据来源</t>
        </is>
      </c>
      <c r="D1" s="6" t="inlineStr">
        <is>
          <t>生成方式</t>
        </is>
      </c>
      <c r="E1" s="6" t="inlineStr">
        <is>
          <t>分析说明</t>
        </is>
      </c>
    </row>
    <row r="2" ht="22" customHeight="1">
      <c r="A2" s="7" t="inlineStr">
        <is>
          <t>F-1</t>
        </is>
      </c>
      <c r="B2" s="7" t="inlineStr">
        <is>
          <t>部署频率趋势</t>
        </is>
      </c>
      <c r="C2" s="7" t="inlineStr">
        <is>
          <t>原始数据!A:B</t>
        </is>
      </c>
      <c r="D2" s="7" t="inlineStr">
        <is>
          <t>折线图</t>
        </is>
      </c>
      <c r="E2" s="7" t="inlineStr">
        <is>
          <t>观察实验期每日部署次数，目标为日均不少于 1 次</t>
        </is>
      </c>
    </row>
    <row r="3" ht="22" customHeight="1">
      <c r="A3" s="7" t="inlineStr">
        <is>
          <t>F-2</t>
        </is>
      </c>
      <c r="B3" s="7" t="inlineStr">
        <is>
          <t>前置时间趋势</t>
        </is>
      </c>
      <c r="C3" s="7" t="inlineStr">
        <is>
          <t>原始数据!A:C</t>
        </is>
      </c>
      <c r="D3" s="7" t="inlineStr">
        <is>
          <t>折线图</t>
        </is>
      </c>
      <c r="E3" s="7" t="inlineStr">
        <is>
          <t>观察提交到可部署版本的等待时间是否持续下降</t>
        </is>
      </c>
    </row>
    <row r="4">
      <c r="A4" s="7" t="inlineStr">
        <is>
          <t>F-3</t>
        </is>
      </c>
      <c r="B4" s="7" t="inlineStr">
        <is>
          <t>变更失败率</t>
        </is>
      </c>
      <c r="C4" s="7" t="inlineStr">
        <is>
          <t>原始数据!A:G</t>
        </is>
      </c>
      <c r="D4" s="7" t="inlineStr">
        <is>
          <t>柱状图</t>
        </is>
      </c>
      <c r="E4" s="7" t="inlineStr">
        <is>
          <t>观察失败变更占比是否低于 15%</t>
        </is>
      </c>
    </row>
    <row r="5">
      <c r="A5" s="7" t="inlineStr">
        <is>
          <t>F-4</t>
        </is>
      </c>
      <c r="B5" s="7" t="inlineStr">
        <is>
          <t>MTTR</t>
        </is>
      </c>
      <c r="C5" s="7" t="inlineStr">
        <is>
          <t>原始数据!A:E</t>
        </is>
      </c>
      <c r="D5" s="7" t="inlineStr">
        <is>
          <t>折线图</t>
        </is>
      </c>
      <c r="E5" s="7" t="inlineStr">
        <is>
          <t>观察失败后恢复耗时是否低于 30 分钟</t>
        </is>
      </c>
    </row>
    <row r="6">
      <c r="A6" s="7" t="inlineStr">
        <is>
          <t>F-5</t>
        </is>
      </c>
      <c r="B6" s="7" t="inlineStr">
        <is>
          <t>周度成熟度</t>
        </is>
      </c>
      <c r="C6" s="7" t="inlineStr">
        <is>
          <t>周度汇总!A:F</t>
        </is>
      </c>
      <c r="D6" s="7" t="inlineStr">
        <is>
          <t>表格/柱状图</t>
        </is>
      </c>
      <c r="E6" s="7" t="inlineStr">
        <is>
          <t>对比 W19/W20 的 DORA 等级和主要改进方向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34" customWidth="1" min="4" max="4"/>
    <col width="38" customWidth="1" min="5" max="5"/>
    <col width="32" customWidth="1" min="6" max="6"/>
  </cols>
  <sheetData>
    <row r="1">
      <c r="A1" s="6" t="inlineStr">
        <is>
          <t>优先级</t>
        </is>
      </c>
      <c r="B1" s="6" t="inlineStr">
        <is>
          <t>改进项</t>
        </is>
      </c>
      <c r="C1" s="6" t="inlineStr">
        <is>
          <t>关联指标</t>
        </is>
      </c>
      <c r="D1" s="6" t="inlineStr">
        <is>
          <t>当前问题</t>
        </is>
      </c>
      <c r="E1" s="6" t="inlineStr">
        <is>
          <t>改进动作</t>
        </is>
      </c>
      <c r="F1" s="6" t="inlineStr">
        <is>
          <t>验收标准</t>
        </is>
      </c>
    </row>
    <row r="2">
      <c r="A2" s="7" t="inlineStr">
        <is>
          <t>P1</t>
        </is>
      </c>
      <c r="B2" s="7" t="inlineStr">
        <is>
          <t>补充契约测试</t>
        </is>
      </c>
      <c r="C2" s="7" t="inlineStr">
        <is>
          <t>变更失败率</t>
        </is>
      </c>
      <c r="D2" s="7" t="inlineStr">
        <is>
          <t>接口边界变化可能只在部署后暴露</t>
        </is>
      </c>
      <c r="E2" s="7" t="inlineStr">
        <is>
          <t>为 reservation/member 关键接口增加契约测试</t>
        </is>
      </c>
      <c r="F2" s="7" t="inlineStr">
        <is>
          <t>PR 阶段即可发现接口字段不兼容</t>
        </is>
      </c>
    </row>
    <row r="3">
      <c r="A3" s="7" t="inlineStr">
        <is>
          <t>P1</t>
        </is>
      </c>
      <c r="B3" s="7" t="inlineStr">
        <is>
          <t>完善发布后自动检查</t>
        </is>
      </c>
      <c r="C3" s="7" t="inlineStr">
        <is>
          <t>MTTR</t>
        </is>
      </c>
      <c r="D3" s="7" t="inlineStr">
        <is>
          <t>CD 仍依赖人工观察部分指标</t>
        </is>
      </c>
      <c r="E3" s="7" t="inlineStr">
        <is>
          <t>在 CD 中查询 Prometheus P95/错误率并输出摘要</t>
        </is>
      </c>
      <c r="F3" s="7" t="inlineStr">
        <is>
          <t>异常时自动阻断或回滚</t>
        </is>
      </c>
    </row>
    <row r="4">
      <c r="A4" s="7" t="inlineStr">
        <is>
          <t>P2</t>
        </is>
      </c>
      <c r="B4" s="7" t="inlineStr">
        <is>
          <t>增加端到端冒烟测试</t>
        </is>
      </c>
      <c r="C4" s="7" t="inlineStr">
        <is>
          <t>前置时间/失败率</t>
        </is>
      </c>
      <c r="D4" s="7" t="inlineStr">
        <is>
          <t>单元测试不能覆盖跨服务链路</t>
        </is>
      </c>
      <c r="E4" s="7" t="inlineStr">
        <is>
          <t>Compose 起栈后执行预约创建与会员查询脚本</t>
        </is>
      </c>
      <c r="F4" s="7" t="inlineStr">
        <is>
          <t>流水线产出可复现冒烟测试日志</t>
        </is>
      </c>
    </row>
    <row r="5">
      <c r="A5" s="7" t="inlineStr">
        <is>
          <t>P2</t>
        </is>
      </c>
      <c r="B5" s="7" t="inlineStr">
        <is>
          <t>沉淀故障复盘模板</t>
        </is>
      </c>
      <c r="C5" s="7" t="inlineStr">
        <is>
          <t>MTTR</t>
        </is>
      </c>
      <c r="D5" s="7" t="inlineStr">
        <is>
          <t>失败处理记录不够标准化</t>
        </is>
      </c>
      <c r="E5" s="7" t="inlineStr">
        <is>
          <t>记录触发时间、根因、恢复动作和预防措施</t>
        </is>
      </c>
      <c r="F5" s="7" t="inlineStr">
        <is>
          <t>每次失败变更都有复盘记录</t>
        </is>
      </c>
    </row>
    <row r="6">
      <c r="A6" s="7" t="inlineStr">
        <is>
          <t>P3</t>
        </is>
      </c>
      <c r="B6" s="7" t="inlineStr">
        <is>
          <t>引入 SBOM 和镜像签名</t>
        </is>
      </c>
      <c r="C6" s="7" t="inlineStr">
        <is>
          <t>安全质量</t>
        </is>
      </c>
      <c r="D6" s="7" t="inlineStr">
        <is>
          <t>供应链证据仍偏手工</t>
        </is>
      </c>
      <c r="E6" s="7" t="inlineStr">
        <is>
          <t>生成 SBOM 并探索 cosign 签名</t>
        </is>
      </c>
      <c r="F6" s="7" t="inlineStr">
        <is>
          <t>镜像交付附带物料清单和签名信息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8" t="inlineStr">
        <is>
          <t>NekoCafé DevOps DORA 趋势图</t>
        </is>
      </c>
    </row>
    <row r="2">
      <c r="A2" t="inlineStr">
        <is>
          <t>图表基于“原始数据”和“周度汇总”生成，用于展示部署频率、前置时间、失败率和 MTTR 的变化趋势。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2026-05-07T01:35:12Z</dcterms:created>
  <dcterms:modified xmlns:dcterms="http://purl.org/dc/terms/" xmlns:xsi="http://www.w3.org/2001/XMLSchema-instance" xsi:type="dcterms:W3CDTF">2026-06-05T05:20:55Z</dcterms:modified>
</cp:coreProperties>
</file>